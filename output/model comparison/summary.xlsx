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E:\ES revision\human model with bio\orignial_humanoccurrence data\model comparison\"/>
    </mc:Choice>
  </mc:AlternateContent>
  <xr:revisionPtr revIDLastSave="0" documentId="13_ncr:1_{056A92ED-8770-4787-B2F4-F8DC66485E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1" l="1"/>
  <c r="T8" i="1"/>
  <c r="T9" i="1"/>
  <c r="T6" i="1"/>
  <c r="Q7" i="1"/>
  <c r="Q8" i="1"/>
  <c r="Q9" i="1"/>
  <c r="Q6" i="1"/>
  <c r="N7" i="1"/>
  <c r="N8" i="1"/>
  <c r="N9" i="1"/>
  <c r="N6" i="1"/>
  <c r="J9" i="1"/>
  <c r="J8" i="1"/>
  <c r="J7" i="1"/>
  <c r="J6" i="1"/>
  <c r="F9" i="1"/>
  <c r="F8" i="1"/>
  <c r="F7" i="1"/>
  <c r="F6" i="1"/>
  <c r="B7" i="1"/>
  <c r="B8" i="1"/>
  <c r="B9" i="1"/>
  <c r="B6" i="1"/>
</calcChain>
</file>

<file path=xl/sharedStrings.xml><?xml version="1.0" encoding="utf-8"?>
<sst xmlns="http://schemas.openxmlformats.org/spreadsheetml/2006/main" count="58" uniqueCount="50">
  <si>
    <t>auc_mean</t>
  </si>
  <si>
    <t>auc_sd</t>
  </si>
  <si>
    <t>ci_lower</t>
  </si>
  <si>
    <t>ci_upper</t>
  </si>
  <si>
    <t>se_mean</t>
  </si>
  <si>
    <t>se_sd</t>
  </si>
  <si>
    <t>se_lower</t>
  </si>
  <si>
    <t>se_upper</t>
  </si>
  <si>
    <t>sp_mean</t>
  </si>
  <si>
    <t>sp_sd</t>
  </si>
  <si>
    <t>sp_lower</t>
  </si>
  <si>
    <t>sp_upper</t>
  </si>
  <si>
    <t>ppv_mean</t>
  </si>
  <si>
    <t>ppv_lower</t>
  </si>
  <si>
    <t>ppv_upper</t>
  </si>
  <si>
    <t>npv_mean</t>
  </si>
  <si>
    <t>npv_lower</t>
  </si>
  <si>
    <t>npv_upper</t>
  </si>
  <si>
    <t>accuracy_mean</t>
  </si>
  <si>
    <t>accuracy_lower</t>
  </si>
  <si>
    <t>accuracy_upper</t>
  </si>
  <si>
    <t>Model</t>
  </si>
  <si>
    <t>GLM_no</t>
  </si>
  <si>
    <t>GLM_w</t>
  </si>
  <si>
    <t>GAM_no</t>
  </si>
  <si>
    <t>GAM_w</t>
  </si>
  <si>
    <t>0.898 (0.866-0.931)</t>
  </si>
  <si>
    <t>0.888 (0.839-0.922)</t>
  </si>
  <si>
    <t>0.791 (0.716-0.894)</t>
  </si>
  <si>
    <t>0.789 (0.700-0.878)</t>
  </si>
  <si>
    <t>0.898 (0.874-0.922)</t>
  </si>
  <si>
    <t>0.839 (0.787-0.891)</t>
  </si>
  <si>
    <t>0.898 (0.864-0.932)</t>
  </si>
  <si>
    <t>0.885 (0.836-0.922)</t>
  </si>
  <si>
    <t>0.793 (0.718-0.895)</t>
  </si>
  <si>
    <t>0.792 (0.703-0.881)</t>
  </si>
  <si>
    <t>0.896 (0.871-0.922)</t>
  </si>
  <si>
    <t>0.840 (0.788-0.892)</t>
  </si>
  <si>
    <t>0.917 (0.888-0.946)</t>
  </si>
  <si>
    <t>0.865 (0.812-0.918)</t>
  </si>
  <si>
    <t>0.853 (0.796-0.907)</t>
  </si>
  <si>
    <t>0.830 (0.749-0.911)</t>
  </si>
  <si>
    <t>0.887 (0.857-0.918)</t>
  </si>
  <si>
    <t>0.863 (0.819-0.907)</t>
  </si>
  <si>
    <t>0.918 (0.889-0.947)</t>
  </si>
  <si>
    <t>0.875 (0.821-0.925)</t>
  </si>
  <si>
    <t>0.846 (0.783-0.909)</t>
  </si>
  <si>
    <t>0.828 (0.744-0.911)</t>
  </si>
  <si>
    <t>0.895 (0.865-0.925)</t>
  </si>
  <si>
    <t>0.863 (0.819-0.908)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</si>
</sst>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workbookViewId="0">
      <selection activeCell="H8" sqref="H8"/>
    </sheetView>
  </sheetViews>
  <sheetFormatPr defaultRowHeight="14.4" x14ac:dyDescent="0.3"/>
  <sheetData>
    <row r="1" spans="1:22" s="1" customFormat="1" ht="28.8" x14ac:dyDescent="0.3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t="s">
        <v>22</v>
      </c>
      <c r="B2">
        <v>0.89849096725487421</v>
      </c>
      <c r="C2">
        <v>5.3030347243570676E-2</v>
      </c>
      <c r="D2">
        <v>0.86562241750460844</v>
      </c>
      <c r="E2">
        <v>0.93135951700513997</v>
      </c>
      <c r="F2">
        <v>0.88774470734996846</v>
      </c>
      <c r="G2">
        <v>7.795607288537694E-2</v>
      </c>
      <c r="H2">
        <v>0.83942703278903097</v>
      </c>
      <c r="I2">
        <v>0.92197769173475619</v>
      </c>
      <c r="J2">
        <v>0.79055496814334714</v>
      </c>
      <c r="K2">
        <v>0.1207976165767433</v>
      </c>
      <c r="L2">
        <v>0.7156838297001118</v>
      </c>
      <c r="M2">
        <v>0.89416776019202182</v>
      </c>
      <c r="N2">
        <v>0.78934931619960713</v>
      </c>
      <c r="O2">
        <v>0.70024843928667968</v>
      </c>
      <c r="P2">
        <v>0.87845019311253458</v>
      </c>
      <c r="Q2">
        <v>0.89786923019234377</v>
      </c>
      <c r="R2">
        <v>0.87376076864993135</v>
      </c>
      <c r="S2">
        <v>0.92197769173475619</v>
      </c>
      <c r="T2">
        <v>0.83924623472938298</v>
      </c>
      <c r="U2">
        <v>0.78744763720543232</v>
      </c>
      <c r="V2">
        <v>0.89104483225333364</v>
      </c>
    </row>
    <row r="3" spans="1:22" x14ac:dyDescent="0.3">
      <c r="A3" t="s">
        <v>23</v>
      </c>
      <c r="B3">
        <v>0.89794860394818021</v>
      </c>
      <c r="C3">
        <v>5.4656560528097392E-2</v>
      </c>
      <c r="D3">
        <v>0.86407211676161011</v>
      </c>
      <c r="E3">
        <v>0.93182509113475032</v>
      </c>
      <c r="F3">
        <v>0.88530133520320131</v>
      </c>
      <c r="G3">
        <v>7.9935022514385112E-2</v>
      </c>
      <c r="H3">
        <v>0.83575709495459116</v>
      </c>
      <c r="I3">
        <v>0.92188135654534398</v>
      </c>
      <c r="J3">
        <v>0.79279679654510082</v>
      </c>
      <c r="K3">
        <v>0.12069838521960349</v>
      </c>
      <c r="L3">
        <v>0.71798716233422433</v>
      </c>
      <c r="M3">
        <v>0.89508421198380639</v>
      </c>
      <c r="N3">
        <v>0.7918604840418394</v>
      </c>
      <c r="O3">
        <v>0.70315200332910144</v>
      </c>
      <c r="P3">
        <v>0.88056896475457735</v>
      </c>
      <c r="Q3">
        <v>0.89626196672745739</v>
      </c>
      <c r="R3">
        <v>0.87064257690957081</v>
      </c>
      <c r="S3">
        <v>0.92188135654534398</v>
      </c>
      <c r="T3">
        <v>0.84026021067563783</v>
      </c>
      <c r="U3">
        <v>0.78836476090368224</v>
      </c>
      <c r="V3">
        <v>0.89215566044759342</v>
      </c>
    </row>
    <row r="4" spans="1:22" x14ac:dyDescent="0.3">
      <c r="A4" t="s">
        <v>24</v>
      </c>
      <c r="B4">
        <v>0.91694348111984125</v>
      </c>
      <c r="C4">
        <v>4.7147403874796365E-2</v>
      </c>
      <c r="D4">
        <v>0.88772121744623311</v>
      </c>
      <c r="E4">
        <v>0.94616574479344939</v>
      </c>
      <c r="F4">
        <v>0.86527439879907297</v>
      </c>
      <c r="G4">
        <v>8.6695015836569703E-2</v>
      </c>
      <c r="H4">
        <v>0.81154027128079909</v>
      </c>
      <c r="I4">
        <v>0.91762703730056105</v>
      </c>
      <c r="J4">
        <v>0.85315347400203501</v>
      </c>
      <c r="K4">
        <v>9.197351876055733E-2</v>
      </c>
      <c r="L4">
        <v>0.79614769647613182</v>
      </c>
      <c r="M4">
        <v>0.90670826953754702</v>
      </c>
      <c r="N4">
        <v>0.82998126313178511</v>
      </c>
      <c r="O4">
        <v>0.74869682604436005</v>
      </c>
      <c r="P4">
        <v>0.91126570021921016</v>
      </c>
      <c r="Q4">
        <v>0.88711546921699114</v>
      </c>
      <c r="R4">
        <v>0.85660390113342122</v>
      </c>
      <c r="S4">
        <v>0.91762703730056105</v>
      </c>
      <c r="T4">
        <v>0.86270900795255534</v>
      </c>
      <c r="U4">
        <v>0.81875861164868824</v>
      </c>
      <c r="V4">
        <v>0.90665940425642244</v>
      </c>
    </row>
    <row r="5" spans="1:22" x14ac:dyDescent="0.3">
      <c r="A5" t="s">
        <v>25</v>
      </c>
      <c r="B5">
        <v>0.9180389084408821</v>
      </c>
      <c r="C5">
        <v>4.6548143191886167E-2</v>
      </c>
      <c r="D5">
        <v>0.88918807038663006</v>
      </c>
      <c r="E5">
        <v>0.94688974649513413</v>
      </c>
      <c r="F5">
        <v>0.87531786274647005</v>
      </c>
      <c r="G5">
        <v>8.6846819927082097E-2</v>
      </c>
      <c r="H5">
        <v>0.82148964607810282</v>
      </c>
      <c r="I5">
        <v>0.92452274167653803</v>
      </c>
      <c r="J5">
        <v>0.84628619193628773</v>
      </c>
      <c r="K5">
        <v>0.10249033276461099</v>
      </c>
      <c r="L5">
        <v>0.78276202555807628</v>
      </c>
      <c r="M5">
        <v>0.90853279794598718</v>
      </c>
      <c r="N5">
        <v>0.82757898695177112</v>
      </c>
      <c r="O5">
        <v>0.74395042158262281</v>
      </c>
      <c r="P5">
        <v>0.91120755232091943</v>
      </c>
      <c r="Q5">
        <v>0.89473814312773459</v>
      </c>
      <c r="R5">
        <v>0.86495354457893114</v>
      </c>
      <c r="S5">
        <v>0.92452274167653803</v>
      </c>
      <c r="T5">
        <v>0.86322262723368992</v>
      </c>
      <c r="U5">
        <v>0.81881320201132057</v>
      </c>
      <c r="V5">
        <v>0.90763205245605927</v>
      </c>
    </row>
    <row r="6" spans="1:22" x14ac:dyDescent="0.3">
      <c r="A6" t="s">
        <v>22</v>
      </c>
      <c r="B6" t="str">
        <f>TEXT(B2,"0.000")&amp;" ("&amp;TEXT(D2,"0.000")&amp;"-"&amp;TEXT(E2,"0.000")&amp;")"</f>
        <v>0.898 (0.866-0.931)</v>
      </c>
      <c r="F6" t="str">
        <f>TEXT(F2,"0.000")&amp;" ("&amp;TEXT(H2,"0.000")&amp;"-"&amp;TEXT(I2,"0.000")&amp;")"</f>
        <v>0.888 (0.839-0.922)</v>
      </c>
      <c r="J6" t="str">
        <f>TEXT(J2,"0.000")&amp;" ("&amp;TEXT(L2,"0.000")&amp;"-"&amp;TEXT(M2,"0.000")&amp;")"</f>
        <v>0.791 (0.716-0.894)</v>
      </c>
      <c r="N6" t="str">
        <f>TEXT(N2,"0.000")&amp;" ("&amp;TEXT(O2,"0.000")&amp;"-"&amp;TEXT(P2,"0.000")&amp;")"</f>
        <v>0.789 (0.700-0.878)</v>
      </c>
      <c r="Q6" t="str">
        <f>TEXT(Q2,"0.000")&amp;" ("&amp;TEXT(R2,"0.000")&amp;"-"&amp;TEXT(S2,"0.000")&amp;")"</f>
        <v>0.898 (0.874-0.922)</v>
      </c>
      <c r="T6" t="str">
        <f>TEXT(T2,"0.000")&amp;" ("&amp;TEXT(U2,"0.000")&amp;"-"&amp;TEXT(V2,"0.000")&amp;")"</f>
        <v>0.839 (0.787-0.891)</v>
      </c>
    </row>
    <row r="7" spans="1:22" x14ac:dyDescent="0.3">
      <c r="A7" t="s">
        <v>23</v>
      </c>
      <c r="B7" t="str">
        <f t="shared" ref="B7:B9" si="0">TEXT(B3,"0.000")&amp;" ("&amp;TEXT(D3,"0.000")&amp;"-"&amp;TEXT(E3,"0.000")&amp;")"</f>
        <v>0.898 (0.864-0.932)</v>
      </c>
      <c r="F7" t="str">
        <f t="shared" ref="F7:F9" si="1">TEXT(F3,"0.000")&amp;" ("&amp;TEXT(H3,"0.000")&amp;"-"&amp;TEXT(I3,"0.000")&amp;")"</f>
        <v>0.885 (0.836-0.922)</v>
      </c>
      <c r="J7" t="str">
        <f t="shared" ref="J7:J9" si="2">TEXT(J3,"0.000")&amp;" ("&amp;TEXT(L3,"0.000")&amp;"-"&amp;TEXT(M3,"0.000")&amp;")"</f>
        <v>0.793 (0.718-0.895)</v>
      </c>
      <c r="N7" t="str">
        <f t="shared" ref="N7:N9" si="3">TEXT(N3,"0.000")&amp;" ("&amp;TEXT(O3,"0.000")&amp;"-"&amp;TEXT(P3,"0.000")&amp;")"</f>
        <v>0.792 (0.703-0.881)</v>
      </c>
      <c r="Q7" t="str">
        <f t="shared" ref="Q7:Q9" si="4">TEXT(Q3,"0.000")&amp;" ("&amp;TEXT(R3,"0.000")&amp;"-"&amp;TEXT(S3,"0.000")&amp;")"</f>
        <v>0.896 (0.871-0.922)</v>
      </c>
      <c r="T7" t="str">
        <f t="shared" ref="T7:T9" si="5">TEXT(T3,"0.000")&amp;" ("&amp;TEXT(U3,"0.000")&amp;"-"&amp;TEXT(V3,"0.000")&amp;")"</f>
        <v>0.840 (0.788-0.892)</v>
      </c>
    </row>
    <row r="8" spans="1:22" x14ac:dyDescent="0.3">
      <c r="A8" t="s">
        <v>24</v>
      </c>
      <c r="B8" t="str">
        <f t="shared" si="0"/>
        <v>0.917 (0.888-0.946)</v>
      </c>
      <c r="F8" t="str">
        <f t="shared" si="1"/>
        <v>0.865 (0.812-0.918)</v>
      </c>
      <c r="J8" t="str">
        <f t="shared" si="2"/>
        <v>0.853 (0.796-0.907)</v>
      </c>
      <c r="N8" t="str">
        <f t="shared" si="3"/>
        <v>0.830 (0.749-0.911)</v>
      </c>
      <c r="Q8" t="str">
        <f t="shared" si="4"/>
        <v>0.887 (0.857-0.918)</v>
      </c>
      <c r="T8" t="str">
        <f t="shared" si="5"/>
        <v>0.863 (0.819-0.907)</v>
      </c>
    </row>
    <row r="9" spans="1:22" x14ac:dyDescent="0.3">
      <c r="A9" t="s">
        <v>25</v>
      </c>
      <c r="B9" t="str">
        <f t="shared" si="0"/>
        <v>0.918 (0.889-0.947)</v>
      </c>
      <c r="F9" t="str">
        <f t="shared" si="1"/>
        <v>0.875 (0.821-0.925)</v>
      </c>
      <c r="J9" t="str">
        <f t="shared" si="2"/>
        <v>0.846 (0.783-0.909)</v>
      </c>
      <c r="N9" t="str">
        <f t="shared" si="3"/>
        <v>0.828 (0.744-0.911)</v>
      </c>
      <c r="Q9" t="str">
        <f t="shared" si="4"/>
        <v>0.895 (0.865-0.925)</v>
      </c>
      <c r="T9" t="str">
        <f t="shared" si="5"/>
        <v>0.863 (0.819-0.908)</v>
      </c>
    </row>
    <row r="13" spans="1:22" x14ac:dyDescent="0.3">
      <c r="A13" t="s">
        <v>22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</row>
    <row r="14" spans="1:22" x14ac:dyDescent="0.3">
      <c r="A14" t="s">
        <v>23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</row>
    <row r="15" spans="1:22" x14ac:dyDescent="0.3">
      <c r="A15" t="s">
        <v>24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</row>
    <row r="16" spans="1:22" x14ac:dyDescent="0.3">
      <c r="A16" t="s">
        <v>25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Wang</dc:creator>
  <cp:lastModifiedBy>Qian Wang</cp:lastModifiedBy>
  <dcterms:created xsi:type="dcterms:W3CDTF">2015-06-05T18:17:20Z</dcterms:created>
  <dcterms:modified xsi:type="dcterms:W3CDTF">2025-08-06T15:44:41Z</dcterms:modified>
</cp:coreProperties>
</file>